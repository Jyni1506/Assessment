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5\Downloads\"/>
    </mc:Choice>
  </mc:AlternateContent>
  <xr:revisionPtr revIDLastSave="0" documentId="13_ncr:1_{13EE1D6E-9CBF-44B6-87DA-07FAD9EEF358}" xr6:coauthVersionLast="47" xr6:coauthVersionMax="47" xr10:uidLastSave="{00000000-0000-0000-0000-000000000000}"/>
  <bookViews>
    <workbookView xWindow="-120" yWindow="-120" windowWidth="20730" windowHeight="11040" xr2:uid="{C7037B08-DA07-4C0A-94A0-CFA73735DD06}"/>
  </bookViews>
  <sheets>
    <sheet name="Sales_Data" sheetId="1" r:id="rId1"/>
    <sheet name="Product_Master" sheetId="2" r:id="rId2"/>
    <sheet name="Student_Marks" sheetId="3" r:id="rId3"/>
  </sheets>
  <definedNames>
    <definedName name="_xlnm._FilterDatabase" localSheetId="0" hidden="1">Sales_Data!$E$1:$F$15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T8" i="1"/>
  <c r="I3" i="1"/>
  <c r="I4" i="1"/>
  <c r="I5" i="1"/>
  <c r="I6" i="1"/>
  <c r="I7" i="1"/>
  <c r="I2" i="1"/>
  <c r="D3" i="1"/>
  <c r="D4" i="1"/>
  <c r="D5" i="1"/>
  <c r="D6" i="1"/>
  <c r="D7" i="1"/>
  <c r="D2" i="1"/>
  <c r="C2" i="3"/>
  <c r="C3" i="3"/>
  <c r="C4" i="3"/>
  <c r="C5" i="3"/>
  <c r="C6" i="3"/>
  <c r="O4" i="3"/>
  <c r="I2" i="3"/>
  <c r="I3" i="3"/>
  <c r="I4" i="3"/>
  <c r="I5" i="3"/>
  <c r="I6" i="3"/>
  <c r="H3" i="3"/>
  <c r="H4" i="3"/>
  <c r="H5" i="3"/>
  <c r="H6" i="3"/>
  <c r="H2" i="3"/>
  <c r="L4" i="1"/>
  <c r="L6" i="1"/>
  <c r="L7" i="1"/>
  <c r="L5" i="1"/>
  <c r="L3" i="1"/>
  <c r="L2" i="1"/>
  <c r="G4" i="1"/>
  <c r="G6" i="1"/>
  <c r="G7" i="1"/>
  <c r="G5" i="1"/>
  <c r="G3" i="1"/>
  <c r="G2" i="1"/>
  <c r="M3" i="1"/>
  <c r="M5" i="1"/>
  <c r="M7" i="1"/>
  <c r="M4" i="1"/>
  <c r="M6" i="1"/>
  <c r="M2" i="1"/>
  <c r="J4" i="1"/>
  <c r="J6" i="1"/>
  <c r="J7" i="1"/>
  <c r="J5" i="1"/>
  <c r="J3" i="1"/>
  <c r="J2" i="1"/>
  <c r="N2" i="1" s="1"/>
  <c r="N3" i="1" l="1"/>
  <c r="O3" i="1" s="1"/>
  <c r="C12" i="1" s="1"/>
  <c r="N5" i="1"/>
  <c r="O5" i="1" s="1"/>
  <c r="N7" i="1"/>
  <c r="O7" i="1" s="1"/>
  <c r="N6" i="1"/>
  <c r="O6" i="1" s="1"/>
  <c r="N4" i="1"/>
  <c r="O4" i="1" s="1"/>
  <c r="O2" i="1"/>
  <c r="C11" i="1" s="1"/>
  <c r="S6" i="1" l="1"/>
  <c r="S5" i="1"/>
</calcChain>
</file>

<file path=xl/sharedStrings.xml><?xml version="1.0" encoding="utf-8"?>
<sst xmlns="http://schemas.openxmlformats.org/spreadsheetml/2006/main" count="73" uniqueCount="57">
  <si>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</si>
  <si>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</si>
  <si>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</si>
  <si>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</si>
  <si>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</si>
  <si>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</si>
  <si>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</si>
  <si>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</si>
  <si>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</si>
  <si>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</si>
  <si>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</si>
  <si>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</si>
  <si>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</si>
  <si>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</si>
  <si>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</si>
  <si>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</si>
  <si>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</si>
  <si>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</si>
  <si>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</si>
  <si>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</si>
  <si>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</si>
  <si>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</si>
  <si>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</si>
  <si>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</si>
  <si>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</si>
  <si>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</si>
  <si>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</si>
  <si>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</si>
  <si>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</si>
  <si>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</si>
  <si>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</si>
  <si>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</si>
  <si>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</si>
  <si>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</si>
  <si>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</si>
  <si>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</si>
  <si>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</si>
  <si>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</si>
  <si>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Total_Sales</t>
  </si>
  <si>
    <t>GST</t>
  </si>
  <si>
    <t>Amout_payable</t>
  </si>
  <si>
    <t xml:space="preserve"> </t>
  </si>
  <si>
    <t>Grand Total</t>
  </si>
  <si>
    <t>High/Low</t>
  </si>
  <si>
    <t>Month</t>
  </si>
  <si>
    <t>Average Marks</t>
  </si>
  <si>
    <t>Eligiblility</t>
  </si>
  <si>
    <t>Median for Statistics</t>
  </si>
  <si>
    <t>Max</t>
  </si>
  <si>
    <t>Min</t>
  </si>
  <si>
    <t>Round</t>
  </si>
  <si>
    <t>Left</t>
  </si>
  <si>
    <t>Total No. of Order</t>
  </si>
  <si>
    <t>Product Category</t>
  </si>
  <si>
    <t xml:space="preserve">Total Sales </t>
  </si>
  <si>
    <t xml:space="preserve">East </t>
  </si>
  <si>
    <t xml:space="preserve">West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</si>
</sst>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3" applyNumberFormat="0" applyAlignment="0" applyProtection="0"/>
    <xf numFmtId="0" fontId="5" fillId="0" borderId="4" applyNumberFormat="0" applyFill="0" applyAlignment="0" applyProtection="0"/>
  </cellStyleXfs>
  <cellXfs count="19">
    <xf numFmtId="0" fontId="0" fillId="0" borderId="0" xfId="0"/>
    <xf numFmtId="0" fontId="0" fillId="0" borderId="2" xfId="0" applyBorder="1"/>
    <xf numFmtId="0" fontId="1" fillId="0" borderId="1" xfId="1"/>
    <xf numFmtId="0" fontId="1" fillId="0" borderId="1" xfId="1" applyFill="1"/>
    <xf numFmtId="9" fontId="0" fillId="0" borderId="2" xfId="0" applyNumberFormat="1" applyBorder="1"/>
    <xf numFmtId="0" fontId="4" fillId="4" borderId="3" xfId="4"/>
    <xf numFmtId="0" fontId="5" fillId="0" borderId="4" xfId="5"/>
    <xf numFmtId="2" fontId="0" fillId="0" borderId="2" xfId="0" applyNumberFormat="1" applyBorder="1"/>
    <xf numFmtId="0" fontId="2" fillId="2" borderId="4" xfId="2" applyBorder="1"/>
    <xf numFmtId="0" fontId="3" fillId="3" borderId="4" xfId="3" applyBorder="1"/>
    <xf numFmtId="0" fontId="4" fillId="4" borderId="3" xfId="4" applyAlignment="1">
      <alignment horizontal="center"/>
    </xf>
    <xf numFmtId="0" fontId="1" fillId="0" borderId="0" xfId="1" applyFill="1" applyBorder="1"/>
    <xf numFmtId="0" fontId="5" fillId="4" borderId="4" xfId="5" applyFill="1"/>
    <xf numFmtId="166" fontId="5" fillId="4" borderId="4" xfId="5" applyNumberFormat="1" applyFill="1"/>
    <xf numFmtId="0" fontId="5" fillId="0" borderId="4" xfId="5" applyAlignment="1">
      <alignment horizontal="center" wrapText="1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</cellXfs>
  <cellStyles count="6">
    <cellStyle name="Bad" xfId="3" builtinId="27"/>
    <cellStyle name="Calculation" xfId="4" builtinId="22"/>
    <cellStyle name="Good" xfId="2" builtinId="26"/>
    <cellStyle name="Heading 3" xfId="1" builtinId="18"/>
    <cellStyle name="Normal" xfId="0" builtinId="0"/>
    <cellStyle name="Total" xfId="5" builtinId="2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CAB9-7624-49DE-9D30-6E31735D10DA}">
  <dimension ref="A1:T15"/>
  <sheetViews>
    <sheetView tabSelected="1" workbookViewId="0">
      <selection activeCell="L13" sqref="L13"/>
    </sheetView>
  </sheetViews>
  <sheetFormatPr defaultRowHeight="15" x14ac:dyDescent="0.25"/>
  <cols>
    <col min="1" max="1" width="9" bestFit="1" customWidth="1"/>
    <col min="2" max="2" width="7.140625" bestFit="1" customWidth="1"/>
    <col min="3" max="3" width="12.28515625" bestFit="1" customWidth="1"/>
    <col min="4" max="4" width="4.42578125" bestFit="1" customWidth="1"/>
    <col min="5" max="5" width="10.140625" bestFit="1" customWidth="1"/>
    <col min="6" max="6" width="11" bestFit="1" customWidth="1"/>
    <col min="7" max="7" width="9.42578125" bestFit="1" customWidth="1"/>
    <col min="8" max="9" width="10.7109375" bestFit="1" customWidth="1"/>
    <col min="10" max="10" width="11.140625" bestFit="1" customWidth="1"/>
    <col min="11" max="11" width="10.7109375" bestFit="1" customWidth="1"/>
    <col min="12" max="12" width="7.7109375" bestFit="1" customWidth="1"/>
    <col min="13" max="13" width="4.5703125" bestFit="1" customWidth="1"/>
    <col min="14" max="14" width="15.28515625" bestFit="1" customWidth="1"/>
    <col min="15" max="15" width="12.28515625" bestFit="1" customWidth="1"/>
    <col min="16" max="16" width="16.28515625" bestFit="1" customWidth="1"/>
  </cols>
  <sheetData>
    <row r="1" spans="1:20" ht="15.75" thickBot="1" x14ac:dyDescent="0.3">
      <c r="A1" s="2" t="s">
        <v>0</v>
      </c>
      <c r="B1" s="2" t="s">
        <v>1</v>
      </c>
      <c r="C1" s="2" t="s">
        <v>2</v>
      </c>
      <c r="D1" s="2" t="s">
        <v>51</v>
      </c>
      <c r="E1" s="2" t="s">
        <v>3</v>
      </c>
      <c r="F1" s="2" t="s">
        <v>4</v>
      </c>
      <c r="G1" s="2" t="s">
        <v>43</v>
      </c>
      <c r="H1" s="2" t="s">
        <v>5</v>
      </c>
      <c r="I1" s="2" t="s">
        <v>50</v>
      </c>
      <c r="J1" s="2" t="s">
        <v>38</v>
      </c>
      <c r="K1" s="2" t="s">
        <v>6</v>
      </c>
      <c r="L1" s="2" t="s">
        <v>44</v>
      </c>
      <c r="M1" s="3" t="s">
        <v>39</v>
      </c>
      <c r="N1" s="3" t="s">
        <v>40</v>
      </c>
      <c r="O1" s="3" t="s">
        <v>42</v>
      </c>
      <c r="P1" s="11" t="s">
        <v>53</v>
      </c>
    </row>
    <row r="2" spans="1:20" x14ac:dyDescent="0.25">
      <c r="A2" s="15">
        <v>301</v>
      </c>
      <c r="B2" s="15" t="s">
        <v>7</v>
      </c>
      <c r="C2" s="15" t="s">
        <v>8</v>
      </c>
      <c r="D2" s="15" t="str">
        <f>LEFT(C2,2)</f>
        <v>Am</v>
      </c>
      <c r="E2" s="15" t="s">
        <v>9</v>
      </c>
      <c r="F2" s="15">
        <v>2</v>
      </c>
      <c r="G2" s="15" t="str">
        <f t="shared" ref="G2:G7" si="0">IF(F2&gt;=3,"High","Low")</f>
        <v>Low</v>
      </c>
      <c r="H2" s="16">
        <v>45000</v>
      </c>
      <c r="I2" s="16">
        <f>ROUND(H2,10000)</f>
        <v>45000</v>
      </c>
      <c r="J2" s="16">
        <f t="shared" ref="J2:J7" si="1">PRODUCT(F2,H2)</f>
        <v>90000</v>
      </c>
      <c r="K2" s="15" t="s">
        <v>10</v>
      </c>
      <c r="L2" s="17" t="str">
        <f t="shared" ref="L2:L7" si="2">TEXT(K2, "MMMM")</f>
        <v>January</v>
      </c>
      <c r="M2" s="18">
        <f>VLOOKUP(E2,Product_Master!A1:C4,3,0)</f>
        <v>0.18</v>
      </c>
      <c r="N2" s="16">
        <f t="shared" ref="N2:N7" si="3">SUM(J2*0.18)</f>
        <v>16200</v>
      </c>
      <c r="O2" s="16">
        <f t="shared" ref="O2:O7" si="4">SUM(J2,N2)</f>
        <v>106200</v>
      </c>
    </row>
    <row r="3" spans="1:20" x14ac:dyDescent="0.25">
      <c r="A3" s="15">
        <v>306</v>
      </c>
      <c r="B3" s="15" t="s">
        <v>11</v>
      </c>
      <c r="C3" s="15" t="s">
        <v>12</v>
      </c>
      <c r="D3" s="15" t="str">
        <f t="shared" ref="D3:D7" si="5">LEFT(C3,2)</f>
        <v>Ri</v>
      </c>
      <c r="E3" s="15" t="s">
        <v>9</v>
      </c>
      <c r="F3" s="15">
        <v>2</v>
      </c>
      <c r="G3" s="15" t="str">
        <f t="shared" si="0"/>
        <v>Low</v>
      </c>
      <c r="H3" s="16">
        <v>45000</v>
      </c>
      <c r="I3" s="16">
        <f t="shared" ref="I3:I7" si="6">ROUND(H3,10000)</f>
        <v>45000</v>
      </c>
      <c r="J3" s="16">
        <f t="shared" si="1"/>
        <v>90000</v>
      </c>
      <c r="K3" s="15" t="s">
        <v>23</v>
      </c>
      <c r="L3" s="17" t="str">
        <f t="shared" si="2"/>
        <v>January</v>
      </c>
      <c r="M3" s="18">
        <f>VLOOKUP(E3,Product_Master!A1:C4,3,0)</f>
        <v>0.18</v>
      </c>
      <c r="N3" s="16">
        <f t="shared" si="3"/>
        <v>16200</v>
      </c>
      <c r="O3" s="16">
        <f t="shared" si="4"/>
        <v>106200</v>
      </c>
    </row>
    <row r="4" spans="1:20" x14ac:dyDescent="0.25">
      <c r="A4" s="15">
        <v>302</v>
      </c>
      <c r="B4" s="15" t="s">
        <v>11</v>
      </c>
      <c r="C4" s="15" t="s">
        <v>12</v>
      </c>
      <c r="D4" s="15" t="str">
        <f t="shared" si="5"/>
        <v>Ri</v>
      </c>
      <c r="E4" s="15" t="s">
        <v>13</v>
      </c>
      <c r="F4" s="15">
        <v>5</v>
      </c>
      <c r="G4" s="15" t="str">
        <f t="shared" si="0"/>
        <v>High</v>
      </c>
      <c r="H4" s="16">
        <v>15000</v>
      </c>
      <c r="I4" s="16">
        <f t="shared" si="6"/>
        <v>15000</v>
      </c>
      <c r="J4" s="16">
        <f t="shared" si="1"/>
        <v>75000</v>
      </c>
      <c r="K4" s="15" t="s">
        <v>14</v>
      </c>
      <c r="L4" s="17" t="str">
        <f t="shared" si="2"/>
        <v>January</v>
      </c>
      <c r="M4" s="18">
        <f>VLOOKUP(E4,Product_Master!A2:C5,3,0)</f>
        <v>0.12</v>
      </c>
      <c r="N4" s="16">
        <f t="shared" si="3"/>
        <v>13500</v>
      </c>
      <c r="O4" s="16">
        <f t="shared" si="4"/>
        <v>88500</v>
      </c>
    </row>
    <row r="5" spans="1:20" ht="15.75" thickBot="1" x14ac:dyDescent="0.3">
      <c r="A5" s="15">
        <v>305</v>
      </c>
      <c r="B5" s="15" t="s">
        <v>7</v>
      </c>
      <c r="C5" s="15" t="s">
        <v>8</v>
      </c>
      <c r="D5" s="15" t="str">
        <f t="shared" si="5"/>
        <v>Am</v>
      </c>
      <c r="E5" s="15" t="s">
        <v>13</v>
      </c>
      <c r="F5" s="15">
        <v>4</v>
      </c>
      <c r="G5" s="15" t="str">
        <f t="shared" si="0"/>
        <v>High</v>
      </c>
      <c r="H5" s="16">
        <v>15000</v>
      </c>
      <c r="I5" s="16">
        <f t="shared" si="6"/>
        <v>15000</v>
      </c>
      <c r="J5" s="16">
        <f t="shared" si="1"/>
        <v>60000</v>
      </c>
      <c r="K5" s="15" t="s">
        <v>22</v>
      </c>
      <c r="L5" s="17" t="str">
        <f t="shared" si="2"/>
        <v>January</v>
      </c>
      <c r="M5" s="18">
        <f>VLOOKUP(E5,Product_Master!A2:C5,3,0)</f>
        <v>0.12</v>
      </c>
      <c r="N5" s="16">
        <f t="shared" si="3"/>
        <v>10800</v>
      </c>
      <c r="O5" s="16">
        <f t="shared" si="4"/>
        <v>70800</v>
      </c>
      <c r="R5" s="6" t="s">
        <v>48</v>
      </c>
      <c r="S5" s="8">
        <f>MAX(O2:O7)</f>
        <v>106200</v>
      </c>
    </row>
    <row r="6" spans="1:20" ht="16.5" thickTop="1" thickBot="1" x14ac:dyDescent="0.3">
      <c r="A6" s="15">
        <v>303</v>
      </c>
      <c r="B6" s="15" t="s">
        <v>15</v>
      </c>
      <c r="C6" s="15" t="s">
        <v>16</v>
      </c>
      <c r="D6" s="15" t="str">
        <f t="shared" si="5"/>
        <v>Ku</v>
      </c>
      <c r="E6" s="15" t="s">
        <v>17</v>
      </c>
      <c r="F6" s="15">
        <v>3</v>
      </c>
      <c r="G6" s="15" t="str">
        <f t="shared" si="0"/>
        <v>High</v>
      </c>
      <c r="H6" s="16">
        <v>18000</v>
      </c>
      <c r="I6" s="16">
        <f t="shared" si="6"/>
        <v>18000</v>
      </c>
      <c r="J6" s="16">
        <f t="shared" si="1"/>
        <v>54000</v>
      </c>
      <c r="K6" s="15" t="s">
        <v>18</v>
      </c>
      <c r="L6" s="17" t="str">
        <f t="shared" si="2"/>
        <v>January</v>
      </c>
      <c r="M6" s="18">
        <f>VLOOKUP(E6,Product_Master!A3:C6,3,0)</f>
        <v>0.12</v>
      </c>
      <c r="N6" s="16">
        <f t="shared" si="3"/>
        <v>9720</v>
      </c>
      <c r="O6" s="16">
        <f t="shared" si="4"/>
        <v>63720</v>
      </c>
      <c r="R6" s="6" t="s">
        <v>49</v>
      </c>
      <c r="S6" s="9">
        <f>MIN(O2:O7)</f>
        <v>53100</v>
      </c>
    </row>
    <row r="7" spans="1:20" ht="15.75" thickTop="1" x14ac:dyDescent="0.25">
      <c r="A7" s="15">
        <v>304</v>
      </c>
      <c r="B7" s="15" t="s">
        <v>19</v>
      </c>
      <c r="C7" s="15" t="s">
        <v>20</v>
      </c>
      <c r="D7" s="15" t="str">
        <f t="shared" si="5"/>
        <v>Ne</v>
      </c>
      <c r="E7" s="15" t="s">
        <v>9</v>
      </c>
      <c r="F7" s="15">
        <v>1</v>
      </c>
      <c r="G7" s="15" t="str">
        <f t="shared" si="0"/>
        <v>Low</v>
      </c>
      <c r="H7" s="16">
        <v>45000</v>
      </c>
      <c r="I7" s="16">
        <f t="shared" si="6"/>
        <v>45000</v>
      </c>
      <c r="J7" s="16">
        <f t="shared" si="1"/>
        <v>45000</v>
      </c>
      <c r="K7" s="15" t="s">
        <v>21</v>
      </c>
      <c r="L7" s="17" t="str">
        <f t="shared" si="2"/>
        <v>January</v>
      </c>
      <c r="M7" s="18">
        <f>VLOOKUP(E7,Product_Master!A1:C4,3,0)</f>
        <v>0.18</v>
      </c>
      <c r="N7" s="16">
        <f t="shared" si="3"/>
        <v>8100</v>
      </c>
      <c r="O7" s="16">
        <f t="shared" si="4"/>
        <v>53100</v>
      </c>
    </row>
    <row r="8" spans="1:20" ht="15.75" thickBot="1" x14ac:dyDescent="0.3">
      <c r="R8" s="14" t="s">
        <v>52</v>
      </c>
      <c r="S8" s="14"/>
      <c r="T8" s="6">
        <f>COUNTA(A2:A7)</f>
        <v>6</v>
      </c>
    </row>
    <row r="9" spans="1:20" ht="15.75" thickTop="1" x14ac:dyDescent="0.25"/>
    <row r="10" spans="1:20" ht="15.75" thickBot="1" x14ac:dyDescent="0.3">
      <c r="B10" s="12" t="s">
        <v>1</v>
      </c>
      <c r="C10" s="12" t="s">
        <v>54</v>
      </c>
    </row>
    <row r="11" spans="1:20" ht="16.5" thickTop="1" thickBot="1" x14ac:dyDescent="0.3">
      <c r="B11" s="12" t="s">
        <v>7</v>
      </c>
      <c r="C11" s="13">
        <f>SUMIF(B2:B7,"North",O2:O7)</f>
        <v>177000</v>
      </c>
    </row>
    <row r="12" spans="1:20" ht="16.5" thickTop="1" thickBot="1" x14ac:dyDescent="0.3">
      <c r="B12" s="12" t="s">
        <v>11</v>
      </c>
      <c r="C12" s="13">
        <f>SUMIF(B2:B7,"South",O2:O7)</f>
        <v>194700</v>
      </c>
    </row>
    <row r="13" spans="1:20" ht="16.5" thickTop="1" thickBot="1" x14ac:dyDescent="0.3">
      <c r="B13" s="12" t="s">
        <v>55</v>
      </c>
      <c r="C13" s="13">
        <f>SUMIF(B2:B7,"East",O2:O7)</f>
        <v>63720</v>
      </c>
    </row>
    <row r="14" spans="1:20" ht="16.5" thickTop="1" thickBot="1" x14ac:dyDescent="0.3">
      <c r="B14" s="12" t="s">
        <v>56</v>
      </c>
      <c r="C14" s="13">
        <f>SUMIF(B2:B7,"West",O2:O7)</f>
        <v>53100</v>
      </c>
    </row>
    <row r="15" spans="1:20" ht="15.75" thickTop="1" x14ac:dyDescent="0.25">
      <c r="P15" t="s">
        <v>41</v>
      </c>
    </row>
  </sheetData>
  <autoFilter ref="E1:F15" xr:uid="{5BAACAB9-7624-49DE-9D30-6E31735D10DA}"/>
  <sortState xmlns:xlrd2="http://schemas.microsoft.com/office/spreadsheetml/2017/richdata2" ref="A1:O7">
    <sortCondition descending="1" ref="O1:O7"/>
  </sortState>
  <mergeCells count="1">
    <mergeCell ref="R8:S8"/>
  </mergeCells>
  <conditionalFormatting sqref="G2:G7">
    <cfRule type="containsText" dxfId="5" priority="4" operator="containsText" text="High">
      <formula>NOT(ISERROR(SEARCH("High",G2)))</formula>
    </cfRule>
    <cfRule type="containsText" dxfId="4" priority="5" operator="containsText" text="Low">
      <formula>NOT(ISERROR(SEARCH("Low",G2)))</formula>
    </cfRule>
  </conditionalFormatting>
  <conditionalFormatting sqref="O2:O6">
    <cfRule type="cellIs" dxfId="3" priority="1" operator="greaterThan">
      <formula>60000</formula>
    </cfRule>
    <cfRule type="top10" dxfId="2" priority="2" bottom="1" rank="1"/>
    <cfRule type="top10" dxfId="1" priority="3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F3C9-675E-4C2B-9F39-362DB839D7C8}">
  <dimension ref="A1:C4"/>
  <sheetViews>
    <sheetView workbookViewId="0">
      <selection activeCell="D6" sqref="D6"/>
    </sheetView>
  </sheetViews>
  <sheetFormatPr defaultRowHeight="15" x14ac:dyDescent="0.25"/>
  <cols>
    <col min="1" max="1" width="7.85546875" bestFit="1" customWidth="1"/>
    <col min="2" max="2" width="10.5703125" bestFit="1" customWidth="1"/>
    <col min="3" max="3" width="6.85546875" bestFit="1" customWidth="1"/>
  </cols>
  <sheetData>
    <row r="1" spans="1:3" ht="15.75" thickBot="1" x14ac:dyDescent="0.3">
      <c r="A1" s="2" t="s">
        <v>3</v>
      </c>
      <c r="B1" s="2" t="s">
        <v>24</v>
      </c>
      <c r="C1" s="2" t="s">
        <v>25</v>
      </c>
    </row>
    <row r="2" spans="1:3" x14ac:dyDescent="0.25">
      <c r="A2" s="1" t="s">
        <v>9</v>
      </c>
      <c r="B2" s="1" t="s">
        <v>26</v>
      </c>
      <c r="C2" s="4">
        <v>0.18</v>
      </c>
    </row>
    <row r="3" spans="1:3" x14ac:dyDescent="0.25">
      <c r="A3" s="1" t="s">
        <v>13</v>
      </c>
      <c r="B3" s="1" t="s">
        <v>26</v>
      </c>
      <c r="C3" s="4">
        <v>0.12</v>
      </c>
    </row>
    <row r="4" spans="1:3" x14ac:dyDescent="0.25">
      <c r="A4" s="1" t="s">
        <v>17</v>
      </c>
      <c r="B4" s="1" t="s">
        <v>26</v>
      </c>
      <c r="C4" s="4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9D04-233F-4CF1-91BD-C3FEE431E271}">
  <dimension ref="A1:O6"/>
  <sheetViews>
    <sheetView workbookViewId="0">
      <selection activeCell="Q10" sqref="Q10"/>
    </sheetView>
  </sheetViews>
  <sheetFormatPr defaultRowHeight="15" x14ac:dyDescent="0.25"/>
  <cols>
    <col min="1" max="1" width="10.85546875" bestFit="1" customWidth="1"/>
    <col min="2" max="2" width="6.28515625" bestFit="1" customWidth="1"/>
    <col min="3" max="3" width="7" bestFit="1" customWidth="1"/>
    <col min="4" max="4" width="6.5703125" bestFit="1" customWidth="1"/>
    <col min="5" max="5" width="8.85546875" bestFit="1" customWidth="1"/>
    <col min="6" max="6" width="5.5703125" bestFit="1" customWidth="1"/>
    <col min="7" max="7" width="14" bestFit="1" customWidth="1"/>
    <col min="8" max="8" width="14.28515625" bestFit="1" customWidth="1"/>
    <col min="9" max="9" width="9.85546875" bestFit="1" customWidth="1"/>
    <col min="14" max="14" width="11.28515625" customWidth="1"/>
  </cols>
  <sheetData>
    <row r="1" spans="1:15" ht="15.75" thickBot="1" x14ac:dyDescent="0.3">
      <c r="A1" s="2" t="s">
        <v>27</v>
      </c>
      <c r="B1" s="2" t="s">
        <v>28</v>
      </c>
      <c r="C1" s="2"/>
      <c r="D1" s="2" t="s">
        <v>29</v>
      </c>
      <c r="E1" s="2" t="s">
        <v>30</v>
      </c>
      <c r="F1" s="2" t="s">
        <v>31</v>
      </c>
      <c r="G1" s="2" t="s">
        <v>32</v>
      </c>
      <c r="H1" s="3" t="s">
        <v>45</v>
      </c>
      <c r="I1" s="3" t="s">
        <v>46</v>
      </c>
    </row>
    <row r="2" spans="1:15" x14ac:dyDescent="0.25">
      <c r="A2" s="1">
        <v>1</v>
      </c>
      <c r="B2" s="1" t="s">
        <v>33</v>
      </c>
      <c r="C2" s="1" t="str">
        <f>_xlfn.CONCAT(A2,B2)</f>
        <v>1Rahul</v>
      </c>
      <c r="D2" s="1">
        <v>78</v>
      </c>
      <c r="E2" s="1">
        <v>82</v>
      </c>
      <c r="F2" s="1">
        <v>85</v>
      </c>
      <c r="G2" s="1">
        <v>92</v>
      </c>
      <c r="H2" s="7">
        <f>AVERAGE(D2,E2,F2)</f>
        <v>81.666666666666671</v>
      </c>
      <c r="I2" s="1" t="str">
        <f>IF(G2&gt;=80,"Eligible","Not Eligible")</f>
        <v>Eligible</v>
      </c>
    </row>
    <row r="3" spans="1:15" x14ac:dyDescent="0.25">
      <c r="A3" s="1">
        <v>2</v>
      </c>
      <c r="B3" s="1" t="s">
        <v>34</v>
      </c>
      <c r="C3" s="1" t="str">
        <f t="shared" ref="C3:C6" si="0">_xlfn.CONCAT(A3,B3)</f>
        <v>2Sneha</v>
      </c>
      <c r="D3" s="1">
        <v>88</v>
      </c>
      <c r="E3" s="1">
        <v>91</v>
      </c>
      <c r="F3" s="1">
        <v>90</v>
      </c>
      <c r="G3" s="1">
        <v>96</v>
      </c>
      <c r="H3" s="7">
        <f t="shared" ref="H3:H6" si="1">AVERAGE(D3,E3,F3)</f>
        <v>89.666666666666671</v>
      </c>
      <c r="I3" s="1" t="str">
        <f t="shared" ref="I3:I6" si="2">IF(G3&gt;=80,"Eligible","Not Eligible")</f>
        <v>Eligible</v>
      </c>
    </row>
    <row r="4" spans="1:15" x14ac:dyDescent="0.25">
      <c r="A4" s="1">
        <v>3</v>
      </c>
      <c r="B4" s="1" t="s">
        <v>35</v>
      </c>
      <c r="C4" s="1" t="str">
        <f t="shared" si="0"/>
        <v>3Arjun</v>
      </c>
      <c r="D4" s="1">
        <v>65</v>
      </c>
      <c r="E4" s="1">
        <v>70</v>
      </c>
      <c r="F4" s="1">
        <v>72</v>
      </c>
      <c r="G4" s="1">
        <v>85</v>
      </c>
      <c r="H4" s="7">
        <f t="shared" si="1"/>
        <v>69</v>
      </c>
      <c r="I4" s="1" t="str">
        <f t="shared" si="2"/>
        <v>Eligible</v>
      </c>
      <c r="M4" s="10" t="s">
        <v>47</v>
      </c>
      <c r="N4" s="10"/>
      <c r="O4" s="5">
        <f>MEDIAN(E2:E6)</f>
        <v>82</v>
      </c>
    </row>
    <row r="5" spans="1:15" x14ac:dyDescent="0.25">
      <c r="A5" s="1">
        <v>4</v>
      </c>
      <c r="B5" s="1" t="s">
        <v>36</v>
      </c>
      <c r="C5" s="1" t="str">
        <f t="shared" si="0"/>
        <v>4Pooja</v>
      </c>
      <c r="D5" s="1">
        <v>92</v>
      </c>
      <c r="E5" s="1">
        <v>89</v>
      </c>
      <c r="F5" s="1">
        <v>94</v>
      </c>
      <c r="G5" s="1">
        <v>98</v>
      </c>
      <c r="H5" s="7">
        <f t="shared" si="1"/>
        <v>91.666666666666671</v>
      </c>
      <c r="I5" s="1" t="str">
        <f t="shared" si="2"/>
        <v>Eligible</v>
      </c>
    </row>
    <row r="6" spans="1:15" x14ac:dyDescent="0.25">
      <c r="A6" s="1">
        <v>5</v>
      </c>
      <c r="B6" s="1" t="s">
        <v>37</v>
      </c>
      <c r="C6" s="1" t="str">
        <f t="shared" si="0"/>
        <v>5Vikas</v>
      </c>
      <c r="D6" s="1">
        <v>55</v>
      </c>
      <c r="E6" s="1">
        <v>60</v>
      </c>
      <c r="F6" s="1">
        <v>58</v>
      </c>
      <c r="G6" s="1">
        <v>80</v>
      </c>
      <c r="H6" s="7">
        <f t="shared" si="1"/>
        <v>57.666666666666664</v>
      </c>
      <c r="I6" s="1" t="str">
        <f t="shared" si="2"/>
        <v>Eligible</v>
      </c>
    </row>
  </sheetData>
  <mergeCells count="1">
    <mergeCell ref="M4:N4"/>
  </mergeCells>
  <conditionalFormatting sqref="H2:H6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Student_Marks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ASDC45</dc:creator>
  <cp:lastModifiedBy>ASDC45</cp:lastModifiedBy>
  <dcterms:created xsi:type="dcterms:W3CDTF">2026-07-12T09:27:44Z</dcterms:created>
  <dcterms:modified xsi:type="dcterms:W3CDTF">2026-07-18T08:31:40Z</dcterms:modified>
</cp:coreProperties>
</file>